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LSM" sheetId="1" r:id="rId4"/>
    <sheet state="visible" name="TOPOLOGI" sheetId="2" r:id="rId5"/>
    <sheet state="visible" name="CIDR" sheetId="3" r:id="rId6"/>
  </sheets>
  <definedNames/>
  <calcPr/>
</workbook>
</file>

<file path=xl/sharedStrings.xml><?xml version="1.0" encoding="utf-8"?>
<sst xmlns="http://schemas.openxmlformats.org/spreadsheetml/2006/main" count="111" uniqueCount="99">
  <si>
    <t>NRP</t>
  </si>
  <si>
    <t>Base Network</t>
  </si>
  <si>
    <t>Subnet / Departemen</t>
  </si>
  <si>
    <t>Kebutuhan Host</t>
  </si>
  <si>
    <t>Bit host</t>
  </si>
  <si>
    <t>Host Usable</t>
  </si>
  <si>
    <t>Network</t>
  </si>
  <si>
    <t>Prefix</t>
  </si>
  <si>
    <t>Range Block</t>
  </si>
  <si>
    <t>Netmask</t>
  </si>
  <si>
    <t>Gateway</t>
  </si>
  <si>
    <t>Broadcast</t>
  </si>
  <si>
    <t>Rentang IP yang Dapat Dipakai</t>
  </si>
  <si>
    <t>Sekretariat</t>
  </si>
  <si>
    <t>10.120.2.0</t>
  </si>
  <si>
    <t>255.255.254.0</t>
  </si>
  <si>
    <t>10.120.2.1</t>
  </si>
  <si>
    <t>10.120.3.255</t>
  </si>
  <si>
    <t xml:space="preserve">10.120.2.1 - 10.120.3.254 </t>
  </si>
  <si>
    <t>Bidang Kurikulum</t>
  </si>
  <si>
    <t>10.120.1.0</t>
  </si>
  <si>
    <t>255.255.255.0</t>
  </si>
  <si>
    <t>10.120.1.1</t>
  </si>
  <si>
    <t>10.120.1.255</t>
  </si>
  <si>
    <t>10.120.1.1 - 10.120.1.254</t>
  </si>
  <si>
    <t>Bidang Guru &amp; Tendik</t>
  </si>
  <si>
    <t>10.120.0.128</t>
  </si>
  <si>
    <t>255.255.255.128</t>
  </si>
  <si>
    <t>10.120.0.129</t>
  </si>
  <si>
    <t>10.120.0.255</t>
  </si>
  <si>
    <t xml:space="preserve">10.120.0.129 - 10.120.0.254 </t>
  </si>
  <si>
    <t>Bidang Sarana Prasarana</t>
  </si>
  <si>
    <t>10.120.0.64</t>
  </si>
  <si>
    <t>255.255.255.192</t>
  </si>
  <si>
    <t>10.120.0.65</t>
  </si>
  <si>
    <t>10.120.0.127</t>
  </si>
  <si>
    <t xml:space="preserve">10.120.0.65 - 10.120.0.126 </t>
  </si>
  <si>
    <t>Bidang Pengawas Sekolah</t>
  </si>
  <si>
    <t>10.120.0.32</t>
  </si>
  <si>
    <t>255.255.255.224</t>
  </si>
  <si>
    <t>10.120.0.33</t>
  </si>
  <si>
    <t>10.120.0.63</t>
  </si>
  <si>
    <t>10.120.0.33 - 10.120.0.62</t>
  </si>
  <si>
    <t>Server &amp; Admin</t>
  </si>
  <si>
    <t>10.120.0.16</t>
  </si>
  <si>
    <t>255.255.255.240</t>
  </si>
  <si>
    <t>10.120.0.17</t>
  </si>
  <si>
    <t>10.120.0.31</t>
  </si>
  <si>
    <t xml:space="preserve">10.120.0.17 - 10.120.0.30 </t>
  </si>
  <si>
    <t>Interlink Kantor Pusat</t>
  </si>
  <si>
    <t>10.120.0.8</t>
  </si>
  <si>
    <t>255.255.255.248</t>
  </si>
  <si>
    <t>10.120.0.9</t>
  </si>
  <si>
    <t>10.120.0.15</t>
  </si>
  <si>
    <t xml:space="preserve">10.120.0.9 - 10.120.0.14 </t>
  </si>
  <si>
    <t>Link WAN (Pusat-Cabang)</t>
  </si>
  <si>
    <t>10.120.0.0</t>
  </si>
  <si>
    <t>255.255.255.252</t>
  </si>
  <si>
    <t>Pusat : 10.120.0.1 / Cabang : 10.120.0.2</t>
  </si>
  <si>
    <t>10.120.0.3</t>
  </si>
  <si>
    <t>10.120.0.1 - 10.120.0.2</t>
  </si>
  <si>
    <t>TOPOLOGI CPT</t>
  </si>
  <si>
    <t>Langkah</t>
  </si>
  <si>
    <t>Instruksi</t>
  </si>
  <si>
    <t>Hasil</t>
  </si>
  <si>
    <t>Tentukan Titik Awal</t>
  </si>
  <si>
    <t>Lihat Tabel VLSM. Ambil Network Address dari subnet pertama (terbesar).
10.120.0.0</t>
  </si>
  <si>
    <t>Tentukan Titik Akhir</t>
  </si>
  <si>
    <t>Lihat Tabel VLSM. Ambil Broadcast Address dari subnet terakhir (terkecil).
10.120.3.235</t>
  </si>
  <si>
    <t>Hitung Supernet</t>
  </si>
  <si>
    <t>Cari satu alamat jaringan dan prefix (Supernet) yang mencakup semua alamat dari Langkah 1 ke Langkah 2.
(Rentang 10.120.0.0 s/d 10.120.3.235 diringkas menjadi 10.120.0.0/22)</t>
  </si>
  <si>
    <t>Isi Kolom Network</t>
  </si>
  <si>
    <t>Ambil alamat jaringan dari Supernet (hasil Langkah 3).
10.120.0.0</t>
  </si>
  <si>
    <t>Isi Kolom Prefix</t>
  </si>
  <si>
    <t>Ambil prefix dari Supernet (hasil Langkah 3).
/22</t>
  </si>
  <si>
    <t>Isi Kolom Mask</t>
  </si>
  <si>
    <t>Konversikan nilai Prefix (/22) ke format desimal.
255.255.252.0</t>
  </si>
  <si>
    <t>Isi Kolom Broadcast</t>
  </si>
  <si>
    <t>Hitung alamat IP terakhir di blok Supernet /22. (Ukuran blok /22 adalah 1024 alamat).
10.120.0.0 + 1024 - 1 = 10.120.3.255</t>
  </si>
  <si>
    <t>Isi Kolom Range Host</t>
  </si>
  <si>
    <t>Ambil alamat usable pertama dan terakhir dari Supernet.
(Network + 1) s/d (Broadcast - 1) = 10.120.0.1 - 10.120.3.254</t>
  </si>
  <si>
    <t>Isi Kolom Gateway</t>
  </si>
  <si>
    <t>Isi dengan N/A (Tidak Berlaku), karena ini adalah rute ringkasan, bukan jaringan LAN fisik.
N/A</t>
  </si>
  <si>
    <t>Mask</t>
  </si>
  <si>
    <t>Range Host</t>
  </si>
  <si>
    <t>255.255.252.0</t>
  </si>
  <si>
    <t>/22</t>
  </si>
  <si>
    <t>10.120.0.1 - 10.120.3.254</t>
  </si>
  <si>
    <t>N/A</t>
  </si>
  <si>
    <t>Supernet (Agregasi)</t>
  </si>
  <si>
    <t>Subnet VLSM (Terkandung di Dalamnya)</t>
  </si>
  <si>
    <t>10.120.0.0/22</t>
  </si>
  <si>
    <t>10.120.0.0/23 (Sekretariat)</t>
  </si>
  <si>
    <t>10.120.2.0/24 (Bidang Kurikulum)</t>
  </si>
  <si>
    <t>10.120.3.0/25 (Bidang Guru &amp; Tendik)</t>
  </si>
  <si>
    <t>10.120.3.128/26 (Bidang Sarana Prasarana)</t>
  </si>
  <si>
    <t>10.120.3.192/27 (Bidang Pengawas Sekolah)</t>
  </si>
  <si>
    <t>10.120.3.224/29 (Server &amp; Admin)</t>
  </si>
  <si>
    <t>10.120.3.232/30 (Link WAN)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</si>
</sst>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sz val="30.0"/>
      <color theme="1"/>
      <name val="Arial"/>
      <scheme val="minor"/>
    </font>
    <font>
      <color theme="1"/>
      <name val="&quot;Google Sans Text&quot;"/>
    </font>
    <font>
      <b/>
      <color rgb="FF1B1C1D"/>
      <name val="&quot;Google Sans Text&quot;"/>
    </font>
    <font>
      <color rgb="FF1B1C1D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VLS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LSM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D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DR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IDR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3</xdr:row>
      <xdr:rowOff>200025</xdr:rowOff>
    </xdr:from>
    <xdr:ext cx="6724650" cy="3695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C3" displayName="Base_Network" name="Base_Network" id="1">
  <tableColumns count="2">
    <tableColumn name="NRP" id="1"/>
    <tableColumn name="Base Network" id="2"/>
  </tableColumns>
  <tableStyleInfo name="VLSM-style" showColumnStripes="0" showFirstColumn="1" showLastColumn="1" showRowStripes="1"/>
</table>
</file>

<file path=xl/tables/table2.xml><?xml version="1.0" encoding="utf-8"?>
<table xmlns="http://schemas.openxmlformats.org/spreadsheetml/2006/main" ref="B7:L15" displayName="VLSM" name="VLSM" id="2">
  <tableColumns count="11">
    <tableColumn name="Subnet / Departemen" id="1"/>
    <tableColumn name="Kebutuhan Host" id="2"/>
    <tableColumn name="Bit host" id="3"/>
    <tableColumn name="Host Usable" id="4"/>
    <tableColumn name="Network" id="5"/>
    <tableColumn name="Prefix" id="6"/>
    <tableColumn name="Range Block" id="7"/>
    <tableColumn name="Netmask" id="8"/>
    <tableColumn name="Gateway" id="9"/>
    <tableColumn name="Broadcast" id="10"/>
    <tableColumn name="Rentang IP yang Dapat Dipakai" id="11"/>
  </tableColumns>
  <tableStyleInfo name="VLSM-style 2" showColumnStripes="0" showFirstColumn="1" showLastColumn="1" showRowStripes="1"/>
</table>
</file>

<file path=xl/tables/table3.xml><?xml version="1.0" encoding="utf-8"?>
<table xmlns="http://schemas.openxmlformats.org/spreadsheetml/2006/main" ref="B2:D11" displayName="Table1" name="Table1" id="3">
  <tableColumns count="3">
    <tableColumn name="Langkah" id="1"/>
    <tableColumn name="Instruksi" id="2"/>
    <tableColumn name="Hasil" id="3"/>
  </tableColumns>
  <tableStyleInfo name="CIDR-style" showColumnStripes="0" showFirstColumn="1" showLastColumn="1" showRowStripes="1"/>
</table>
</file>

<file path=xl/tables/table4.xml><?xml version="1.0" encoding="utf-8"?>
<table xmlns="http://schemas.openxmlformats.org/spreadsheetml/2006/main" ref="B14:G15" displayName="Table2" name="Table2" id="4">
  <tableColumns count="6">
    <tableColumn name="Network" id="1"/>
    <tableColumn name="Mask" id="2"/>
    <tableColumn name="Prefix" id="3"/>
    <tableColumn name="Range Host" id="4"/>
    <tableColumn name="Broadcast" id="5"/>
    <tableColumn name="Gateway" id="6"/>
  </tableColumns>
  <tableStyleInfo name="CIDR-style 2" showColumnStripes="0" showFirstColumn="1" showLastColumn="1" showRowStripes="1"/>
</table>
</file>

<file path=xl/tables/table5.xml><?xml version="1.0" encoding="utf-8"?>
<table xmlns="http://schemas.openxmlformats.org/spreadsheetml/2006/main" ref="B19:C26" displayName="Table3" name="Table3" id="5">
  <tableColumns count="2">
    <tableColumn name="Supernet (Agregasi)" id="1"/>
    <tableColumn name="Subnet VLSM (Terkandung di Dalamnya)" id="2"/>
  </tableColumns>
  <tableStyleInfo name="CIDR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7.5"/>
    <col customWidth="1" min="5" max="5" width="14.38"/>
    <col customWidth="1" min="8" max="8" width="14.5"/>
    <col customWidth="1" min="9" max="9" width="14.75"/>
    <col customWidth="1" min="10" max="10" width="12.88"/>
    <col customWidth="1" min="11" max="11" width="17.13"/>
    <col customWidth="1" min="12" max="12" width="28.13"/>
  </cols>
  <sheetData>
    <row r="2" ht="22.5" customHeight="1">
      <c r="B2" s="1" t="s">
        <v>0</v>
      </c>
      <c r="C2" s="1" t="s">
        <v>1</v>
      </c>
    </row>
    <row r="3" ht="22.5" customHeight="1">
      <c r="B3" s="2">
        <v>5.02724108E9</v>
      </c>
      <c r="C3" s="3">
        <f>MOD(B3, 256)</f>
        <v>120</v>
      </c>
    </row>
    <row r="7" ht="22.5" customHeight="1"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5" t="s">
        <v>10</v>
      </c>
      <c r="K7" s="4" t="s">
        <v>11</v>
      </c>
      <c r="L7" s="4" t="s">
        <v>12</v>
      </c>
    </row>
    <row r="8" ht="22.5" customHeight="1">
      <c r="B8" s="2" t="s">
        <v>13</v>
      </c>
      <c r="C8" s="2">
        <v>381.0</v>
      </c>
      <c r="D8" s="3">
        <f t="shared" ref="D8:D15" si="1">_xlfn.CEILING.MATH(LOG(C8+2, 2))</f>
        <v>9</v>
      </c>
      <c r="E8" s="3">
        <f t="shared" ref="E8:E15" si="2">(2^D8) - 2</f>
        <v>510</v>
      </c>
      <c r="F8" s="2" t="s">
        <v>14</v>
      </c>
      <c r="G8" s="3">
        <f t="shared" ref="G8:G15" si="3">32 - D8</f>
        <v>23</v>
      </c>
      <c r="H8" s="3">
        <f t="shared" ref="H8:H15" si="4">(2^D8)</f>
        <v>512</v>
      </c>
      <c r="I8" s="2" t="s">
        <v>15</v>
      </c>
      <c r="J8" s="2" t="s">
        <v>16</v>
      </c>
      <c r="K8" s="2" t="s">
        <v>17</v>
      </c>
      <c r="L8" s="2" t="s">
        <v>18</v>
      </c>
    </row>
    <row r="9" ht="22.5" customHeight="1">
      <c r="B9" s="2" t="s">
        <v>19</v>
      </c>
      <c r="C9" s="2">
        <v>221.0</v>
      </c>
      <c r="D9" s="3">
        <f t="shared" si="1"/>
        <v>8</v>
      </c>
      <c r="E9" s="3">
        <f t="shared" si="2"/>
        <v>254</v>
      </c>
      <c r="F9" s="2" t="s">
        <v>20</v>
      </c>
      <c r="G9" s="3">
        <f t="shared" si="3"/>
        <v>24</v>
      </c>
      <c r="H9" s="3">
        <f t="shared" si="4"/>
        <v>256</v>
      </c>
      <c r="I9" s="2" t="s">
        <v>21</v>
      </c>
      <c r="J9" s="2" t="s">
        <v>22</v>
      </c>
      <c r="K9" s="2" t="s">
        <v>23</v>
      </c>
      <c r="L9" s="2" t="s">
        <v>24</v>
      </c>
    </row>
    <row r="10" ht="22.5" customHeight="1">
      <c r="B10" s="2" t="s">
        <v>25</v>
      </c>
      <c r="C10" s="2">
        <v>96.0</v>
      </c>
      <c r="D10" s="3">
        <f t="shared" si="1"/>
        <v>7</v>
      </c>
      <c r="E10" s="3">
        <f t="shared" si="2"/>
        <v>126</v>
      </c>
      <c r="F10" s="2" t="s">
        <v>26</v>
      </c>
      <c r="G10" s="3">
        <f t="shared" si="3"/>
        <v>25</v>
      </c>
      <c r="H10" s="3">
        <f t="shared" si="4"/>
        <v>128</v>
      </c>
      <c r="I10" s="2" t="s">
        <v>27</v>
      </c>
      <c r="J10" s="2" t="s">
        <v>28</v>
      </c>
      <c r="K10" s="2" t="s">
        <v>29</v>
      </c>
      <c r="L10" s="2" t="s">
        <v>30</v>
      </c>
    </row>
    <row r="11" ht="22.5" customHeight="1">
      <c r="B11" s="2" t="s">
        <v>31</v>
      </c>
      <c r="C11" s="2">
        <v>46.0</v>
      </c>
      <c r="D11" s="3">
        <f t="shared" si="1"/>
        <v>6</v>
      </c>
      <c r="E11" s="3">
        <f t="shared" si="2"/>
        <v>62</v>
      </c>
      <c r="F11" s="2" t="s">
        <v>32</v>
      </c>
      <c r="G11" s="3">
        <f t="shared" si="3"/>
        <v>26</v>
      </c>
      <c r="H11" s="3">
        <f t="shared" si="4"/>
        <v>64</v>
      </c>
      <c r="I11" s="2" t="s">
        <v>33</v>
      </c>
      <c r="J11" s="2" t="s">
        <v>34</v>
      </c>
      <c r="K11" s="2" t="s">
        <v>35</v>
      </c>
      <c r="L11" s="2" t="s">
        <v>36</v>
      </c>
    </row>
    <row r="12" ht="22.5" customHeight="1">
      <c r="B12" s="2" t="s">
        <v>37</v>
      </c>
      <c r="C12" s="2">
        <v>19.0</v>
      </c>
      <c r="D12" s="3">
        <f t="shared" si="1"/>
        <v>5</v>
      </c>
      <c r="E12" s="3">
        <f t="shared" si="2"/>
        <v>30</v>
      </c>
      <c r="F12" s="2" t="s">
        <v>38</v>
      </c>
      <c r="G12" s="3">
        <f t="shared" si="3"/>
        <v>27</v>
      </c>
      <c r="H12" s="3">
        <f t="shared" si="4"/>
        <v>32</v>
      </c>
      <c r="I12" s="2" t="s">
        <v>39</v>
      </c>
      <c r="J12" s="2" t="s">
        <v>40</v>
      </c>
      <c r="K12" s="2" t="s">
        <v>41</v>
      </c>
      <c r="L12" s="2" t="s">
        <v>42</v>
      </c>
    </row>
    <row r="13" ht="22.5" customHeight="1">
      <c r="B13" s="2" t="s">
        <v>43</v>
      </c>
      <c r="C13" s="2">
        <v>7.0</v>
      </c>
      <c r="D13" s="3">
        <f t="shared" si="1"/>
        <v>4</v>
      </c>
      <c r="E13" s="3">
        <f t="shared" si="2"/>
        <v>14</v>
      </c>
      <c r="F13" s="2" t="s">
        <v>44</v>
      </c>
      <c r="G13" s="3">
        <f t="shared" si="3"/>
        <v>28</v>
      </c>
      <c r="H13" s="3">
        <f t="shared" si="4"/>
        <v>16</v>
      </c>
      <c r="I13" s="2" t="s">
        <v>45</v>
      </c>
      <c r="J13" s="2" t="s">
        <v>46</v>
      </c>
      <c r="K13" s="2" t="s">
        <v>47</v>
      </c>
      <c r="L13" s="2" t="s">
        <v>48</v>
      </c>
    </row>
    <row r="14" ht="22.5" customHeight="1">
      <c r="B14" s="2" t="s">
        <v>49</v>
      </c>
      <c r="C14" s="2">
        <v>6.0</v>
      </c>
      <c r="D14" s="3">
        <f t="shared" si="1"/>
        <v>3</v>
      </c>
      <c r="E14" s="3">
        <f t="shared" si="2"/>
        <v>6</v>
      </c>
      <c r="F14" s="2" t="s">
        <v>50</v>
      </c>
      <c r="G14" s="3">
        <f t="shared" si="3"/>
        <v>29</v>
      </c>
      <c r="H14" s="3">
        <f t="shared" si="4"/>
        <v>8</v>
      </c>
      <c r="I14" s="2" t="s">
        <v>51</v>
      </c>
      <c r="J14" s="2" t="s">
        <v>52</v>
      </c>
      <c r="K14" s="2" t="s">
        <v>53</v>
      </c>
      <c r="L14" s="2" t="s">
        <v>54</v>
      </c>
    </row>
    <row r="15" ht="22.5" customHeight="1">
      <c r="B15" s="2" t="s">
        <v>55</v>
      </c>
      <c r="C15" s="2">
        <v>2.0</v>
      </c>
      <c r="D15" s="3">
        <f t="shared" si="1"/>
        <v>2</v>
      </c>
      <c r="E15" s="3">
        <f t="shared" si="2"/>
        <v>2</v>
      </c>
      <c r="F15" s="2" t="s">
        <v>56</v>
      </c>
      <c r="G15" s="3">
        <f t="shared" si="3"/>
        <v>30</v>
      </c>
      <c r="H15" s="3">
        <f t="shared" si="4"/>
        <v>4</v>
      </c>
      <c r="I15" s="2" t="s">
        <v>57</v>
      </c>
      <c r="J15" s="6" t="s">
        <v>58</v>
      </c>
      <c r="K15" s="2" t="s">
        <v>59</v>
      </c>
      <c r="L15" s="2" t="s">
        <v>60</v>
      </c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7" t="s">
        <v>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38"/>
    <col customWidth="1" min="4" max="4" width="85.25"/>
  </cols>
  <sheetData>
    <row r="2" ht="22.5" customHeight="1">
      <c r="B2" s="8" t="s">
        <v>62</v>
      </c>
      <c r="C2" s="8" t="s">
        <v>63</v>
      </c>
      <c r="D2" s="8" t="s">
        <v>64</v>
      </c>
    </row>
    <row r="3" ht="22.5" customHeight="1">
      <c r="B3" s="9">
        <v>1.0</v>
      </c>
      <c r="C3" s="9" t="s">
        <v>65</v>
      </c>
      <c r="D3" s="10" t="s">
        <v>66</v>
      </c>
    </row>
    <row r="4" ht="22.5" customHeight="1">
      <c r="B4" s="9">
        <v>2.0</v>
      </c>
      <c r="C4" s="9" t="s">
        <v>67</v>
      </c>
      <c r="D4" s="10" t="s">
        <v>68</v>
      </c>
    </row>
    <row r="5" ht="22.5" customHeight="1">
      <c r="B5" s="9">
        <v>3.0</v>
      </c>
      <c r="C5" s="9" t="s">
        <v>69</v>
      </c>
      <c r="D5" s="10" t="s">
        <v>70</v>
      </c>
    </row>
    <row r="6" ht="22.5" customHeight="1">
      <c r="B6" s="9">
        <v>4.0</v>
      </c>
      <c r="C6" s="9" t="s">
        <v>71</v>
      </c>
      <c r="D6" s="10" t="s">
        <v>72</v>
      </c>
    </row>
    <row r="7" ht="22.5" customHeight="1">
      <c r="B7" s="9">
        <v>5.0</v>
      </c>
      <c r="C7" s="9" t="s">
        <v>73</v>
      </c>
      <c r="D7" s="10" t="s">
        <v>74</v>
      </c>
    </row>
    <row r="8" ht="22.5" customHeight="1">
      <c r="B8" s="9">
        <v>6.0</v>
      </c>
      <c r="C8" s="9" t="s">
        <v>75</v>
      </c>
      <c r="D8" s="10" t="s">
        <v>76</v>
      </c>
    </row>
    <row r="9" ht="22.5" customHeight="1">
      <c r="B9" s="9">
        <v>7.0</v>
      </c>
      <c r="C9" s="9" t="s">
        <v>77</v>
      </c>
      <c r="D9" s="10" t="s">
        <v>78</v>
      </c>
    </row>
    <row r="10" ht="22.5" customHeight="1">
      <c r="B10" s="9">
        <v>8.0</v>
      </c>
      <c r="C10" s="9" t="s">
        <v>79</v>
      </c>
      <c r="D10" s="10" t="s">
        <v>80</v>
      </c>
    </row>
    <row r="11" ht="22.5" customHeight="1">
      <c r="B11" s="9">
        <v>9.0</v>
      </c>
      <c r="C11" s="9" t="s">
        <v>81</v>
      </c>
      <c r="D11" s="10" t="s">
        <v>82</v>
      </c>
    </row>
    <row r="14" ht="22.5" customHeight="1">
      <c r="B14" s="8" t="s">
        <v>6</v>
      </c>
      <c r="C14" s="8" t="s">
        <v>83</v>
      </c>
      <c r="D14" s="8" t="s">
        <v>7</v>
      </c>
      <c r="E14" s="8" t="s">
        <v>84</v>
      </c>
      <c r="F14" s="8" t="s">
        <v>11</v>
      </c>
      <c r="G14" s="8" t="s">
        <v>10</v>
      </c>
    </row>
    <row r="15" ht="22.5" customHeight="1">
      <c r="B15" s="11" t="s">
        <v>56</v>
      </c>
      <c r="C15" s="11" t="s">
        <v>85</v>
      </c>
      <c r="D15" s="10" t="s">
        <v>86</v>
      </c>
      <c r="E15" s="11" t="s">
        <v>87</v>
      </c>
      <c r="F15" s="11" t="s">
        <v>17</v>
      </c>
      <c r="G15" s="10" t="s">
        <v>88</v>
      </c>
    </row>
    <row r="19" ht="22.5" customHeight="1">
      <c r="B19" s="8" t="s">
        <v>89</v>
      </c>
      <c r="C19" s="8" t="s">
        <v>90</v>
      </c>
    </row>
    <row r="20" ht="22.5" customHeight="1">
      <c r="B20" s="11" t="s">
        <v>91</v>
      </c>
      <c r="C20" s="11" t="s">
        <v>92</v>
      </c>
    </row>
    <row r="21" ht="22.5" customHeight="1">
      <c r="B21" s="11" t="s">
        <v>91</v>
      </c>
      <c r="C21" s="11" t="s">
        <v>93</v>
      </c>
    </row>
    <row r="22" ht="22.5" customHeight="1">
      <c r="B22" s="11" t="s">
        <v>91</v>
      </c>
      <c r="C22" s="11" t="s">
        <v>94</v>
      </c>
    </row>
    <row r="23" ht="22.5" customHeight="1">
      <c r="B23" s="11" t="s">
        <v>91</v>
      </c>
      <c r="C23" s="11" t="s">
        <v>95</v>
      </c>
    </row>
    <row r="24" ht="22.5" customHeight="1">
      <c r="B24" s="11" t="s">
        <v>91</v>
      </c>
      <c r="C24" s="11" t="s">
        <v>96</v>
      </c>
    </row>
    <row r="25" ht="22.5" customHeight="1">
      <c r="B25" s="11" t="s">
        <v>91</v>
      </c>
      <c r="C25" s="11" t="s">
        <v>97</v>
      </c>
    </row>
    <row r="26" ht="22.5" customHeight="1">
      <c r="B26" s="11" t="s">
        <v>91</v>
      </c>
      <c r="C26" s="11" t="s">
        <v>98</v>
      </c>
    </row>
  </sheetData>
  <drawing r:id="rId1"/>
  <tableParts count="3">
    <tablePart r:id="rId5"/>
    <tablePart r:id="rId6"/>
    <tablePart r:id="rId7"/>
  </tableParts>
</worksheet>
</file>